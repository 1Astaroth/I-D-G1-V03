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dqPeuy8LPNjBvXp+Ezy1myHQtQg6YaPEBsi1Me5UAY="/>
    </ext>
  </extLst>
</workbook>
</file>

<file path=xl/sharedStrings.xml><?xml version="1.0" encoding="utf-8"?>
<sst xmlns="http://schemas.openxmlformats.org/spreadsheetml/2006/main" count="77" uniqueCount="74">
  <si>
    <t>-</t>
  </si>
  <si>
    <t>Material</t>
  </si>
  <si>
    <t>Capacidad</t>
  </si>
  <si>
    <t>Diseño</t>
  </si>
  <si>
    <t>Funcionalidad-Modo funcionamiento</t>
  </si>
  <si>
    <t>MDF</t>
  </si>
  <si>
    <t>5LT POR COMPARTIMENTO</t>
  </si>
  <si>
    <t>Cilíndrico</t>
  </si>
  <si>
    <t>Utilizar un sensor de proximidad, en donde el usuario coloque a cierta distancia x, el residuo y</t>
  </si>
  <si>
    <t>PLA</t>
  </si>
  <si>
    <t>3LT POR COMPARTIMENTO</t>
  </si>
  <si>
    <t>Rectángulo</t>
  </si>
  <si>
    <t>Scanner que identifique el tipo de basura y mediante un servomotor se abra el compartimiento respectivo</t>
  </si>
  <si>
    <t>TPU</t>
  </si>
  <si>
    <t>1LT POR COMPARTIMENTO</t>
  </si>
  <si>
    <t>Cuadrado</t>
  </si>
  <si>
    <t>Al colocar la basura se va a tener una bandeja común con sensores que identifique el tipo de material y haga girar los contenedores dependiendo de el residuo identificado</t>
  </si>
  <si>
    <t>Triángulo</t>
  </si>
  <si>
    <t>Operar mediante 2 sensores y que si no detecta como metal o plástico clasifique a otro compartimento</t>
  </si>
  <si>
    <t>Necesidades/ Especificaciones</t>
  </si>
  <si>
    <t>DISEÑO</t>
  </si>
  <si>
    <t>FUNCIONALIDAD</t>
  </si>
  <si>
    <t>PRECIO</t>
  </si>
  <si>
    <t>SOSTENIBILIDAD</t>
  </si>
  <si>
    <t>PESO</t>
  </si>
  <si>
    <t>CAPACIDAD</t>
  </si>
  <si>
    <t>VIDA ÚTIL</t>
  </si>
  <si>
    <t>EFICIENCIA ENERGÉTICA</t>
  </si>
  <si>
    <t>MATERIAL</t>
  </si>
  <si>
    <t>AUTOMATIZACIÓN</t>
  </si>
  <si>
    <t>TAMAÑO</t>
  </si>
  <si>
    <t>NÚMERO DE PIEZAS</t>
  </si>
  <si>
    <t>Importancia</t>
  </si>
  <si>
    <t>Precepción nosotros</t>
  </si>
  <si>
    <t>Townew T1</t>
  </si>
  <si>
    <t>EKO Mirage X</t>
  </si>
  <si>
    <t>Valor objetivo</t>
  </si>
  <si>
    <t>Tasa de mejora</t>
  </si>
  <si>
    <t>Valor estratégico</t>
  </si>
  <si>
    <t>Importancia compuesta</t>
  </si>
  <si>
    <t>Importancia relativa %</t>
  </si>
  <si>
    <t>KERLY: MDF-5LT-CILINDRICO-F3</t>
  </si>
  <si>
    <t>JAIRO: PLA-1LT-CILINDRICO-F1</t>
  </si>
  <si>
    <t>CAMI:TPU-5LT-RECTÁNGULO-F2</t>
  </si>
  <si>
    <t>DOME-MDF-3LT-TRIANGULO-F4</t>
  </si>
  <si>
    <t>Facilidad de clasificación de basura</t>
  </si>
  <si>
    <t>Tiempo de clasificación corto</t>
  </si>
  <si>
    <t xml:space="preserve">Fácil manejo </t>
  </si>
  <si>
    <t>Que sea silencioso</t>
  </si>
  <si>
    <t>Regulable en altura</t>
  </si>
  <si>
    <t>Que sea segura</t>
  </si>
  <si>
    <t>Que sea ligera</t>
  </si>
  <si>
    <t>Que sea estable</t>
  </si>
  <si>
    <t>Fácil de transportar</t>
  </si>
  <si>
    <t>Fácil de limpiar</t>
  </si>
  <si>
    <t>Estética agradable</t>
  </si>
  <si>
    <t>Que no tenga salida de olores</t>
  </si>
  <si>
    <t>Que consuma poca energía</t>
  </si>
  <si>
    <t>Que tenga un precio accesible</t>
  </si>
  <si>
    <t xml:space="preserve">Fácil extracción de contenedores </t>
  </si>
  <si>
    <t xml:space="preserve">Diseño moderno </t>
  </si>
  <si>
    <t xml:space="preserve">Larga vida util de los componentes electronicos </t>
  </si>
  <si>
    <t xml:space="preserve">Capacidad de almacenamiento </t>
  </si>
  <si>
    <t xml:space="preserve">Resistencia a golpes </t>
  </si>
  <si>
    <t>Que sea de materiales no perjudiciales a la salud</t>
  </si>
  <si>
    <t>Que sea duradero</t>
  </si>
  <si>
    <t>Que no tenga al descubierto circuitos</t>
  </si>
  <si>
    <t>Que sea resistente a la humedad</t>
  </si>
  <si>
    <t>Importancia ponderara</t>
  </si>
  <si>
    <t>Importancia relativa</t>
  </si>
  <si>
    <t>Target</t>
  </si>
  <si>
    <t>FACILIDAD DE CLASIFICACIÓN DE BASURA</t>
  </si>
  <si>
    <t>QUE NO TENGA AL DESCUBIERTO CIRCUITOS</t>
  </si>
  <si>
    <t xml:space="preserve">FUNCIONALIDAD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</si>
</sst>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5">
    <font>
      <sz val="12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D99594"/>
        <bgColor rgb="FFD99594"/>
      </patternFill>
    </fill>
    <fill>
      <patternFill patternType="solid">
        <fgColor rgb="FF63BE7B"/>
        <bgColor rgb="FF63BE7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4" fillId="2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readingOrder="0" textRotation="90"/>
    </xf>
    <xf borderId="7" fillId="0" fontId="4" numFmtId="0" xfId="0" applyAlignment="1" applyBorder="1" applyFont="1">
      <alignment readingOrder="0" textRotation="90"/>
    </xf>
    <xf borderId="4" fillId="3" fontId="4" numFmtId="0" xfId="0" applyAlignment="1" applyBorder="1" applyFill="1" applyFont="1">
      <alignment textRotation="90"/>
    </xf>
    <xf borderId="4" fillId="4" fontId="4" numFmtId="0" xfId="0" applyAlignment="1" applyBorder="1" applyFill="1" applyFont="1">
      <alignment textRotation="90"/>
    </xf>
    <xf borderId="4" fillId="4" fontId="4" numFmtId="0" xfId="0" applyAlignment="1" applyBorder="1" applyFont="1">
      <alignment readingOrder="0" textRotation="90"/>
    </xf>
    <xf borderId="4" fillId="0" fontId="4" numFmtId="0" xfId="0" applyAlignment="1" applyBorder="1" applyFont="1">
      <alignment readingOrder="0" textRotation="90"/>
    </xf>
    <xf borderId="4" fillId="0" fontId="4" numFmtId="0" xfId="0" applyAlignment="1" applyBorder="1" applyFont="1">
      <alignment textRotation="90"/>
    </xf>
    <xf borderId="0" fillId="0" fontId="4" numFmtId="0" xfId="0" applyAlignment="1" applyFont="1">
      <alignment textRotation="90"/>
    </xf>
    <xf borderId="8" fillId="0" fontId="4" numFmtId="0" xfId="0" applyAlignment="1" applyBorder="1" applyFont="1">
      <alignment textRotation="90"/>
    </xf>
    <xf borderId="8" fillId="0" fontId="4" numFmtId="0" xfId="0" applyAlignment="1" applyBorder="1" applyFont="1">
      <alignment readingOrder="0" textRotation="90"/>
    </xf>
    <xf borderId="0" fillId="0" fontId="4" numFmtId="0" xfId="0" applyAlignment="1" applyFont="1">
      <alignment readingOrder="0" textRotation="90"/>
    </xf>
    <xf borderId="4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5" fontId="4" numFmtId="0" xfId="0" applyAlignment="1" applyBorder="1" applyFill="1" applyFont="1">
      <alignment readingOrder="0"/>
    </xf>
    <xf borderId="4" fillId="5" fontId="4" numFmtId="0" xfId="0" applyAlignment="1" applyBorder="1" applyFont="1">
      <alignment readingOrder="0"/>
    </xf>
    <xf borderId="4" fillId="5" fontId="4" numFmtId="164" xfId="0" applyBorder="1" applyFont="1" applyNumberFormat="1"/>
    <xf borderId="4" fillId="5" fontId="4" numFmtId="164" xfId="0" applyAlignment="1" applyBorder="1" applyFont="1" applyNumberFormat="1">
      <alignment readingOrder="0"/>
    </xf>
    <xf borderId="11" fillId="5" fontId="4" numFmtId="165" xfId="0" applyBorder="1" applyFont="1" applyNumberFormat="1"/>
    <xf borderId="0" fillId="0" fontId="4" numFmtId="165" xfId="0" applyFont="1" applyNumberFormat="1"/>
    <xf borderId="12" fillId="5" fontId="4" numFmtId="165" xfId="0" applyBorder="1" applyFont="1" applyNumberFormat="1"/>
    <xf borderId="4" fillId="0" fontId="4" numFmtId="0" xfId="0" applyBorder="1" applyFont="1"/>
    <xf borderId="4" fillId="0" fontId="3" numFmtId="0" xfId="0" applyAlignment="1" applyBorder="1" applyFont="1">
      <alignment readingOrder="0"/>
    </xf>
    <xf borderId="4" fillId="5" fontId="4" numFmtId="0" xfId="0" applyBorder="1" applyFont="1"/>
    <xf borderId="13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5" fillId="6" fontId="4" numFmtId="0" xfId="0" applyBorder="1" applyFill="1" applyFont="1"/>
    <xf borderId="10" fillId="0" fontId="4" numFmtId="0" xfId="0" applyAlignment="1" applyBorder="1" applyFont="1">
      <alignment readingOrder="0"/>
    </xf>
    <xf borderId="4" fillId="0" fontId="4" numFmtId="164" xfId="0" applyBorder="1" applyFont="1" applyNumberFormat="1"/>
    <xf borderId="12" fillId="0" fontId="4" numFmtId="165" xfId="0" applyBorder="1" applyFont="1" applyNumberFormat="1"/>
    <xf borderId="14" fillId="0" fontId="4" numFmtId="0" xfId="0" applyBorder="1" applyFont="1"/>
    <xf borderId="4" fillId="0" fontId="4" numFmtId="9" xfId="0" applyBorder="1" applyFont="1" applyNumberFormat="1"/>
    <xf borderId="0" fillId="7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5.89"/>
    <col customWidth="1" min="3" max="18" width="4.89"/>
    <col customWidth="1" min="19" max="21" width="3.56"/>
    <col customWidth="1" min="22" max="22" width="4.44"/>
    <col customWidth="1" min="23" max="27" width="6.0"/>
    <col customWidth="1" min="28" max="28" width="7.22"/>
    <col customWidth="1" min="29" max="29" width="20.78"/>
    <col customWidth="1" min="30" max="30" width="19.22"/>
    <col customWidth="1" min="31" max="31" width="28.89"/>
    <col customWidth="1" min="32" max="32" width="12.11"/>
    <col customWidth="1" min="33" max="39" width="6.0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C2" s="2" t="str">
        <f t="shared" ref="C2:C5" si="1">"+"</f>
        <v>+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C3" s="2" t="str">
        <f t="shared" si="1"/>
        <v>+</v>
      </c>
      <c r="D3" s="3"/>
      <c r="E3" s="3"/>
      <c r="F3" s="3"/>
      <c r="G3" s="3"/>
      <c r="H3" s="3"/>
      <c r="I3" s="3"/>
      <c r="J3" s="3"/>
      <c r="K3" s="3"/>
      <c r="L3" s="3"/>
      <c r="M3" s="4"/>
      <c r="N3" s="5" t="str">
        <f>"+"</f>
        <v>+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C4" s="2" t="str">
        <f t="shared" si="1"/>
        <v>+</v>
      </c>
      <c r="D4" s="3"/>
      <c r="E4" s="3"/>
      <c r="F4" s="3"/>
      <c r="G4" s="3"/>
      <c r="H4" s="3"/>
      <c r="I4" s="3"/>
      <c r="J4" s="3"/>
      <c r="K4" s="3"/>
      <c r="L4" s="4"/>
      <c r="M4" s="5" t="str">
        <f t="shared" ref="M4:N4" si="2">"+"</f>
        <v>+</v>
      </c>
      <c r="N4" s="5" t="str">
        <f t="shared" si="2"/>
        <v>+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>
      <c r="C5" s="2" t="str">
        <f t="shared" si="1"/>
        <v>+</v>
      </c>
      <c r="D5" s="3"/>
      <c r="E5" s="3"/>
      <c r="F5" s="3"/>
      <c r="G5" s="3"/>
      <c r="H5" s="3"/>
      <c r="I5" s="3"/>
      <c r="J5" s="3"/>
      <c r="K5" s="4"/>
      <c r="L5" s="5" t="str">
        <f t="shared" ref="L5:M5" si="3">"+"</f>
        <v>+</v>
      </c>
      <c r="M5" s="5" t="str">
        <f t="shared" si="3"/>
        <v>+</v>
      </c>
      <c r="N5" s="6" t="str">
        <f>"-"</f>
        <v>-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C6" s="7">
        <v>0.0</v>
      </c>
      <c r="D6" s="3"/>
      <c r="E6" s="3"/>
      <c r="F6" s="3"/>
      <c r="G6" s="3"/>
      <c r="H6" s="3"/>
      <c r="I6" s="3"/>
      <c r="J6" s="4"/>
      <c r="K6" s="5" t="str">
        <f t="shared" ref="K6:L6" si="4">"+"</f>
        <v>+</v>
      </c>
      <c r="L6" s="5" t="str">
        <f t="shared" si="4"/>
        <v>+</v>
      </c>
      <c r="M6" s="6" t="s">
        <v>0</v>
      </c>
      <c r="N6" s="5" t="str">
        <f t="shared" ref="N6:N7" si="6">"+"</f>
        <v>+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>
      <c r="C7" s="7">
        <v>0.0</v>
      </c>
      <c r="D7" s="3"/>
      <c r="E7" s="3"/>
      <c r="F7" s="3"/>
      <c r="G7" s="3"/>
      <c r="H7" s="3"/>
      <c r="I7" s="4"/>
      <c r="J7" s="5" t="str">
        <f t="shared" ref="J7:K7" si="5">"+"</f>
        <v>+</v>
      </c>
      <c r="K7" s="5" t="str">
        <f t="shared" si="5"/>
        <v>+</v>
      </c>
      <c r="L7" s="6">
        <v>0.0</v>
      </c>
      <c r="M7" s="5" t="str">
        <f>"-"</f>
        <v>-</v>
      </c>
      <c r="N7" s="5" t="str">
        <f t="shared" si="6"/>
        <v>+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6" t="s">
        <v>1</v>
      </c>
      <c r="AC7" s="6" t="s">
        <v>2</v>
      </c>
      <c r="AD7" s="6" t="s">
        <v>3</v>
      </c>
      <c r="AE7" s="6" t="s">
        <v>4</v>
      </c>
      <c r="AF7" s="5"/>
      <c r="AG7" s="1"/>
      <c r="AH7" s="1"/>
      <c r="AI7" s="1"/>
      <c r="AJ7" s="1"/>
      <c r="AK7" s="1"/>
      <c r="AL7" s="1"/>
      <c r="AM7" s="1"/>
    </row>
    <row r="8">
      <c r="C8" s="2" t="str">
        <f>"-"</f>
        <v>-</v>
      </c>
      <c r="D8" s="3"/>
      <c r="E8" s="3"/>
      <c r="F8" s="3"/>
      <c r="G8" s="3"/>
      <c r="H8" s="4"/>
      <c r="I8" s="5" t="str">
        <f t="shared" ref="I8:K8" si="7">"+"</f>
        <v>+</v>
      </c>
      <c r="J8" s="5" t="str">
        <f t="shared" si="7"/>
        <v>+</v>
      </c>
      <c r="K8" s="5" t="str">
        <f t="shared" si="7"/>
        <v>+</v>
      </c>
      <c r="L8" s="6">
        <v>0.0</v>
      </c>
      <c r="M8" s="5" t="str">
        <f t="shared" ref="M8:N8" si="8">"+"</f>
        <v>+</v>
      </c>
      <c r="N8" s="5" t="str">
        <f t="shared" si="8"/>
        <v>+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6" t="s">
        <v>5</v>
      </c>
      <c r="AC8" s="8" t="s">
        <v>6</v>
      </c>
      <c r="AD8" s="9" t="s">
        <v>7</v>
      </c>
      <c r="AE8" s="9" t="s">
        <v>8</v>
      </c>
      <c r="AF8" s="5"/>
      <c r="AG8" s="1"/>
      <c r="AH8" s="1"/>
      <c r="AI8" s="1"/>
      <c r="AJ8" s="1"/>
      <c r="AK8" s="1"/>
      <c r="AL8" s="1"/>
      <c r="AM8" s="1"/>
    </row>
    <row r="9">
      <c r="C9" s="2" t="str">
        <f>"+"</f>
        <v>+</v>
      </c>
      <c r="D9" s="3"/>
      <c r="E9" s="3"/>
      <c r="F9" s="3"/>
      <c r="G9" s="4"/>
      <c r="H9" s="5" t="str">
        <f t="shared" ref="H9:I9" si="9">"+"</f>
        <v>+</v>
      </c>
      <c r="I9" s="5" t="str">
        <f t="shared" si="9"/>
        <v>+</v>
      </c>
      <c r="J9" s="5" t="str">
        <f>"-"</f>
        <v>-</v>
      </c>
      <c r="K9" s="6">
        <v>0.0</v>
      </c>
      <c r="L9" s="5" t="str">
        <f t="shared" ref="L9:N9" si="10">"+"</f>
        <v>+</v>
      </c>
      <c r="M9" s="5" t="str">
        <f t="shared" si="10"/>
        <v>+</v>
      </c>
      <c r="N9" s="6" t="str">
        <f t="shared" si="10"/>
        <v>+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0" t="s">
        <v>9</v>
      </c>
      <c r="AC9" s="8" t="s">
        <v>10</v>
      </c>
      <c r="AD9" s="8" t="s">
        <v>11</v>
      </c>
      <c r="AE9" s="9" t="s">
        <v>12</v>
      </c>
      <c r="AF9" s="5"/>
      <c r="AG9" s="1"/>
      <c r="AH9" s="1"/>
      <c r="AI9" s="1"/>
      <c r="AJ9" s="1"/>
      <c r="AK9" s="1"/>
      <c r="AL9" s="1"/>
      <c r="AM9" s="1"/>
    </row>
    <row r="10">
      <c r="C10" s="7">
        <v>0.0</v>
      </c>
      <c r="D10" s="3"/>
      <c r="E10" s="3"/>
      <c r="F10" s="4"/>
      <c r="G10" s="6">
        <v>0.0</v>
      </c>
      <c r="H10" s="5" t="str">
        <f t="shared" ref="H10:I10" si="11">"+"</f>
        <v>+</v>
      </c>
      <c r="I10" s="5" t="str">
        <f t="shared" si="11"/>
        <v>+</v>
      </c>
      <c r="J10" s="6">
        <v>0.0</v>
      </c>
      <c r="K10" s="5" t="str">
        <f t="shared" ref="K10:K12" si="12">"+"</f>
        <v>+</v>
      </c>
      <c r="L10" s="6">
        <v>0.0</v>
      </c>
      <c r="M10" s="6">
        <v>0.0</v>
      </c>
      <c r="N10" s="5" t="str">
        <f>"-"</f>
        <v>-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6" t="s">
        <v>13</v>
      </c>
      <c r="AC10" s="8" t="s">
        <v>14</v>
      </c>
      <c r="AD10" s="8" t="s">
        <v>15</v>
      </c>
      <c r="AE10" s="9" t="s">
        <v>16</v>
      </c>
      <c r="AF10" s="5"/>
      <c r="AG10" s="1"/>
      <c r="AH10" s="1"/>
      <c r="AI10" s="1"/>
      <c r="AJ10" s="1"/>
      <c r="AK10" s="1"/>
      <c r="AL10" s="1"/>
      <c r="AM10" s="1"/>
    </row>
    <row r="11">
      <c r="C11" s="7" t="str">
        <f t="shared" ref="C11:C12" si="13">"+"</f>
        <v>+</v>
      </c>
      <c r="D11" s="3"/>
      <c r="E11" s="4"/>
      <c r="F11" s="6">
        <v>0.0</v>
      </c>
      <c r="G11" s="6">
        <v>0.0</v>
      </c>
      <c r="H11" s="6">
        <v>0.0</v>
      </c>
      <c r="I11" s="5" t="str">
        <f>"+"</f>
        <v>+</v>
      </c>
      <c r="J11" s="6">
        <v>0.0</v>
      </c>
      <c r="K11" s="5" t="str">
        <f t="shared" si="12"/>
        <v>+</v>
      </c>
      <c r="L11" s="5" t="str">
        <f t="shared" ref="L11:L12" si="15">"-"</f>
        <v>-</v>
      </c>
      <c r="M11" s="6">
        <v>0.0</v>
      </c>
      <c r="N11" s="5" t="str">
        <f>"+"</f>
        <v>+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5"/>
      <c r="AC11" s="5"/>
      <c r="AD11" s="6" t="s">
        <v>17</v>
      </c>
      <c r="AE11" s="9" t="s">
        <v>18</v>
      </c>
      <c r="AF11" s="5"/>
      <c r="AG11" s="1"/>
      <c r="AH11" s="1"/>
      <c r="AI11" s="1"/>
      <c r="AJ11" s="1"/>
      <c r="AK11" s="1"/>
      <c r="AL11" s="1"/>
      <c r="AM11" s="1"/>
    </row>
    <row r="12">
      <c r="C12" s="7" t="str">
        <f t="shared" si="13"/>
        <v>+</v>
      </c>
      <c r="D12" s="4"/>
      <c r="E12" s="5" t="str">
        <f t="shared" ref="E12:F12" si="14">"+"</f>
        <v>+</v>
      </c>
      <c r="F12" s="5" t="str">
        <f t="shared" si="14"/>
        <v>+</v>
      </c>
      <c r="G12" s="6">
        <v>0.0</v>
      </c>
      <c r="H12" s="6">
        <v>0.0</v>
      </c>
      <c r="I12" s="6">
        <v>0.0</v>
      </c>
      <c r="J12" s="5" t="str">
        <f>"-"</f>
        <v>-</v>
      </c>
      <c r="K12" s="5" t="str">
        <f t="shared" si="12"/>
        <v>+</v>
      </c>
      <c r="L12" s="5" t="str">
        <f t="shared" si="15"/>
        <v>-</v>
      </c>
      <c r="M12" s="5" t="str">
        <f t="shared" ref="M12:N12" si="16">"+"</f>
        <v>+</v>
      </c>
      <c r="N12" s="5" t="str">
        <f t="shared" si="16"/>
        <v>+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1"/>
      <c r="AC12" s="11"/>
      <c r="AD12" s="11"/>
      <c r="AE12" s="9"/>
      <c r="AF12" s="1"/>
      <c r="AG12" s="1"/>
      <c r="AH12" s="1"/>
      <c r="AI12" s="1"/>
      <c r="AJ12" s="1"/>
      <c r="AK12" s="1"/>
      <c r="AL12" s="1"/>
      <c r="AM12" s="1"/>
    </row>
    <row r="13">
      <c r="B13" s="12" t="s">
        <v>19</v>
      </c>
      <c r="C13" s="13" t="s">
        <v>20</v>
      </c>
      <c r="D13" s="14" t="s">
        <v>21</v>
      </c>
      <c r="E13" s="14" t="s">
        <v>22</v>
      </c>
      <c r="F13" s="14" t="s">
        <v>23</v>
      </c>
      <c r="G13" s="14" t="s">
        <v>24</v>
      </c>
      <c r="H13" s="14" t="s">
        <v>25</v>
      </c>
      <c r="I13" s="14" t="s">
        <v>26</v>
      </c>
      <c r="J13" s="14" t="s">
        <v>27</v>
      </c>
      <c r="K13" s="14" t="s">
        <v>28</v>
      </c>
      <c r="L13" s="14" t="s">
        <v>29</v>
      </c>
      <c r="M13" s="14" t="s">
        <v>30</v>
      </c>
      <c r="N13" s="14" t="s">
        <v>31</v>
      </c>
      <c r="O13" s="15" t="s">
        <v>32</v>
      </c>
      <c r="P13" s="16" t="s">
        <v>33</v>
      </c>
      <c r="Q13" s="17" t="s">
        <v>34</v>
      </c>
      <c r="R13" s="17" t="s">
        <v>35</v>
      </c>
      <c r="S13" s="18" t="s">
        <v>36</v>
      </c>
      <c r="T13" s="19" t="s">
        <v>37</v>
      </c>
      <c r="U13" s="19" t="s">
        <v>38</v>
      </c>
      <c r="V13" s="19" t="s">
        <v>39</v>
      </c>
      <c r="W13" s="19" t="s">
        <v>40</v>
      </c>
      <c r="X13" s="20"/>
      <c r="Y13" s="20"/>
      <c r="Z13" s="20"/>
      <c r="AA13" s="20"/>
      <c r="AB13" s="21"/>
      <c r="AC13" s="22" t="s">
        <v>41</v>
      </c>
      <c r="AD13" s="22" t="s">
        <v>42</v>
      </c>
      <c r="AE13" s="22" t="s">
        <v>43</v>
      </c>
      <c r="AF13" s="23" t="s">
        <v>44</v>
      </c>
      <c r="AG13" s="20"/>
      <c r="AH13" s="20"/>
      <c r="AI13" s="20"/>
      <c r="AJ13" s="20"/>
      <c r="AK13" s="20"/>
      <c r="AL13" s="20"/>
      <c r="AM13" s="20"/>
    </row>
    <row r="14">
      <c r="B14" s="24" t="s">
        <v>45</v>
      </c>
      <c r="C14" s="25">
        <v>5.0</v>
      </c>
      <c r="D14" s="24">
        <v>5.0</v>
      </c>
      <c r="E14" s="24">
        <v>2.0</v>
      </c>
      <c r="F14" s="24">
        <v>0.0</v>
      </c>
      <c r="G14" s="24">
        <v>0.0</v>
      </c>
      <c r="H14" s="24">
        <v>0.0</v>
      </c>
      <c r="I14" s="24">
        <v>1.0</v>
      </c>
      <c r="J14" s="24">
        <v>3.0</v>
      </c>
      <c r="K14" s="24">
        <v>1.0</v>
      </c>
      <c r="L14" s="24">
        <v>5.0</v>
      </c>
      <c r="M14" s="24">
        <v>3.0</v>
      </c>
      <c r="N14" s="24">
        <v>2.0</v>
      </c>
      <c r="O14" s="26">
        <v>5.0</v>
      </c>
      <c r="P14" s="27">
        <v>5.0</v>
      </c>
      <c r="Q14" s="27">
        <v>2.0</v>
      </c>
      <c r="R14" s="27">
        <v>2.0</v>
      </c>
      <c r="S14" s="27">
        <v>5.0</v>
      </c>
      <c r="T14" s="28">
        <f t="shared" ref="T14:T36" si="17">P14/S14</f>
        <v>1</v>
      </c>
      <c r="U14" s="29">
        <v>5.0</v>
      </c>
      <c r="V14" s="28">
        <f t="shared" ref="V14:V36" si="18">O14*S14*T14</f>
        <v>25</v>
      </c>
      <c r="W14" s="30">
        <f t="shared" ref="W14:W36" si="19">V14/SUM(V$14:V$31)</f>
        <v>0.09259259259</v>
      </c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</row>
    <row r="15">
      <c r="B15" s="24" t="s">
        <v>46</v>
      </c>
      <c r="C15" s="25">
        <v>1.0</v>
      </c>
      <c r="D15" s="24">
        <v>4.0</v>
      </c>
      <c r="E15" s="24">
        <v>3.0</v>
      </c>
      <c r="F15" s="24">
        <v>0.0</v>
      </c>
      <c r="G15" s="24">
        <v>0.0</v>
      </c>
      <c r="H15" s="24">
        <v>2.0</v>
      </c>
      <c r="I15" s="24">
        <v>4.0</v>
      </c>
      <c r="J15" s="24">
        <v>3.0</v>
      </c>
      <c r="K15" s="24">
        <v>0.0</v>
      </c>
      <c r="L15" s="24">
        <v>5.0</v>
      </c>
      <c r="M15" s="24">
        <v>1.0</v>
      </c>
      <c r="N15" s="24">
        <v>0.0</v>
      </c>
      <c r="O15" s="26">
        <v>3.0</v>
      </c>
      <c r="P15" s="27">
        <v>3.5</v>
      </c>
      <c r="Q15" s="27">
        <v>4.0</v>
      </c>
      <c r="R15" s="27">
        <v>4.0</v>
      </c>
      <c r="S15" s="27">
        <v>5.0</v>
      </c>
      <c r="T15" s="28">
        <f t="shared" si="17"/>
        <v>0.7</v>
      </c>
      <c r="U15" s="29">
        <v>3.0</v>
      </c>
      <c r="V15" s="28">
        <f t="shared" si="18"/>
        <v>10.5</v>
      </c>
      <c r="W15" s="32">
        <f t="shared" si="19"/>
        <v>0.03888888889</v>
      </c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</row>
    <row r="16">
      <c r="B16" s="24" t="s">
        <v>47</v>
      </c>
      <c r="C16" s="25">
        <v>5.0</v>
      </c>
      <c r="D16" s="24">
        <v>3.0</v>
      </c>
      <c r="E16" s="24">
        <v>2.0</v>
      </c>
      <c r="F16" s="24">
        <v>0.0</v>
      </c>
      <c r="G16" s="24">
        <v>4.0</v>
      </c>
      <c r="H16" s="24">
        <v>3.0</v>
      </c>
      <c r="I16" s="24">
        <v>0.0</v>
      </c>
      <c r="J16" s="24">
        <v>2.0</v>
      </c>
      <c r="K16" s="24">
        <v>3.0</v>
      </c>
      <c r="L16" s="24">
        <v>5.0</v>
      </c>
      <c r="M16" s="24">
        <v>5.0</v>
      </c>
      <c r="N16" s="24">
        <v>5.0</v>
      </c>
      <c r="O16" s="26">
        <v>3.5</v>
      </c>
      <c r="P16" s="27">
        <v>4.0</v>
      </c>
      <c r="Q16" s="27">
        <v>5.0</v>
      </c>
      <c r="R16" s="27">
        <v>5.0</v>
      </c>
      <c r="S16" s="27">
        <v>5.0</v>
      </c>
      <c r="T16" s="28">
        <f t="shared" si="17"/>
        <v>0.8</v>
      </c>
      <c r="U16" s="29">
        <v>3.0</v>
      </c>
      <c r="V16" s="28">
        <f t="shared" si="18"/>
        <v>14</v>
      </c>
      <c r="W16" s="32">
        <f t="shared" si="19"/>
        <v>0.05185185185</v>
      </c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</row>
    <row r="17">
      <c r="B17" s="24" t="s">
        <v>48</v>
      </c>
      <c r="C17" s="25">
        <v>3.0</v>
      </c>
      <c r="D17" s="24">
        <v>4.0</v>
      </c>
      <c r="E17" s="24">
        <v>5.0</v>
      </c>
      <c r="F17" s="24">
        <v>0.0</v>
      </c>
      <c r="G17" s="24">
        <v>0.0</v>
      </c>
      <c r="H17" s="24">
        <v>0.0</v>
      </c>
      <c r="I17" s="24">
        <v>0.0</v>
      </c>
      <c r="J17" s="24">
        <v>2.0</v>
      </c>
      <c r="K17" s="24">
        <v>3.0</v>
      </c>
      <c r="L17" s="24">
        <v>5.0</v>
      </c>
      <c r="M17" s="24">
        <v>1.0</v>
      </c>
      <c r="N17" s="24">
        <v>0.0</v>
      </c>
      <c r="O17" s="26">
        <v>5.0</v>
      </c>
      <c r="P17" s="27">
        <v>3.0</v>
      </c>
      <c r="Q17" s="27">
        <v>4.0</v>
      </c>
      <c r="R17" s="27">
        <v>4.0</v>
      </c>
      <c r="S17" s="27">
        <v>5.0</v>
      </c>
      <c r="T17" s="28">
        <f t="shared" si="17"/>
        <v>0.6</v>
      </c>
      <c r="U17" s="29">
        <v>4.0</v>
      </c>
      <c r="V17" s="28">
        <f t="shared" si="18"/>
        <v>15</v>
      </c>
      <c r="W17" s="32">
        <f t="shared" si="19"/>
        <v>0.05555555556</v>
      </c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</row>
    <row r="18">
      <c r="B18" s="33" t="s">
        <v>49</v>
      </c>
      <c r="C18" s="25">
        <v>5.0</v>
      </c>
      <c r="D18" s="24">
        <v>4.0</v>
      </c>
      <c r="E18" s="24">
        <v>4.0</v>
      </c>
      <c r="F18" s="24">
        <v>2.0</v>
      </c>
      <c r="G18" s="24">
        <v>4.0</v>
      </c>
      <c r="H18" s="24">
        <v>4.0</v>
      </c>
      <c r="I18" s="24">
        <v>4.0</v>
      </c>
      <c r="J18" s="24">
        <v>1.0</v>
      </c>
      <c r="K18" s="24">
        <v>5.0</v>
      </c>
      <c r="L18" s="24">
        <v>5.0</v>
      </c>
      <c r="M18" s="24">
        <v>4.0</v>
      </c>
      <c r="N18" s="24">
        <v>5.0</v>
      </c>
      <c r="O18" s="26">
        <v>2.5</v>
      </c>
      <c r="P18" s="27">
        <v>2.0</v>
      </c>
      <c r="Q18" s="27">
        <v>1.0</v>
      </c>
      <c r="R18" s="27">
        <v>1.0</v>
      </c>
      <c r="S18" s="27">
        <v>5.0</v>
      </c>
      <c r="T18" s="28">
        <f t="shared" si="17"/>
        <v>0.4</v>
      </c>
      <c r="U18" s="29">
        <v>1.0</v>
      </c>
      <c r="V18" s="28">
        <f t="shared" si="18"/>
        <v>5</v>
      </c>
      <c r="W18" s="32">
        <f t="shared" si="19"/>
        <v>0.01851851852</v>
      </c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</row>
    <row r="19">
      <c r="B19" s="33" t="s">
        <v>50</v>
      </c>
      <c r="C19" s="25">
        <v>5.0</v>
      </c>
      <c r="D19" s="24">
        <v>5.0</v>
      </c>
      <c r="E19" s="24">
        <v>5.0</v>
      </c>
      <c r="F19" s="24">
        <v>0.0</v>
      </c>
      <c r="G19" s="24">
        <v>3.0</v>
      </c>
      <c r="H19" s="24">
        <v>0.0</v>
      </c>
      <c r="I19" s="24">
        <v>3.0</v>
      </c>
      <c r="J19" s="24">
        <v>4.0</v>
      </c>
      <c r="K19" s="24">
        <v>5.0</v>
      </c>
      <c r="L19" s="24">
        <v>3.0</v>
      </c>
      <c r="M19" s="24">
        <v>2.0</v>
      </c>
      <c r="N19" s="24">
        <v>5.0</v>
      </c>
      <c r="O19" s="26">
        <v>4.0</v>
      </c>
      <c r="P19" s="27">
        <v>3.0</v>
      </c>
      <c r="Q19" s="27">
        <v>4.0</v>
      </c>
      <c r="R19" s="27">
        <v>4.0</v>
      </c>
      <c r="S19" s="27">
        <v>5.0</v>
      </c>
      <c r="T19" s="28">
        <f t="shared" si="17"/>
        <v>0.6</v>
      </c>
      <c r="U19" s="29">
        <v>5.0</v>
      </c>
      <c r="V19" s="28">
        <f t="shared" si="18"/>
        <v>12</v>
      </c>
      <c r="W19" s="32">
        <f t="shared" si="19"/>
        <v>0.04444444444</v>
      </c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</row>
    <row r="20">
      <c r="B20" s="33" t="s">
        <v>51</v>
      </c>
      <c r="C20" s="25">
        <v>5.0</v>
      </c>
      <c r="D20" s="24">
        <v>3.0</v>
      </c>
      <c r="E20" s="24">
        <v>5.0</v>
      </c>
      <c r="F20" s="24">
        <v>2.0</v>
      </c>
      <c r="G20" s="24">
        <v>5.0</v>
      </c>
      <c r="H20" s="24">
        <v>4.0</v>
      </c>
      <c r="I20" s="24">
        <v>3.0</v>
      </c>
      <c r="J20" s="24">
        <v>2.0</v>
      </c>
      <c r="K20" s="24">
        <v>5.0</v>
      </c>
      <c r="L20" s="24">
        <v>1.0</v>
      </c>
      <c r="M20" s="24">
        <v>5.0</v>
      </c>
      <c r="N20" s="24">
        <v>4.0</v>
      </c>
      <c r="O20" s="26">
        <v>3.5</v>
      </c>
      <c r="P20" s="27">
        <v>3.0</v>
      </c>
      <c r="Q20" s="27">
        <v>4.0</v>
      </c>
      <c r="R20" s="27">
        <v>4.0</v>
      </c>
      <c r="S20" s="27">
        <v>5.0</v>
      </c>
      <c r="T20" s="28">
        <f t="shared" si="17"/>
        <v>0.6</v>
      </c>
      <c r="U20" s="29">
        <v>4.0</v>
      </c>
      <c r="V20" s="28">
        <f t="shared" si="18"/>
        <v>10.5</v>
      </c>
      <c r="W20" s="32">
        <f t="shared" si="19"/>
        <v>0.03888888889</v>
      </c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</row>
    <row r="21">
      <c r="B21" s="24" t="s">
        <v>52</v>
      </c>
      <c r="C21" s="25">
        <v>5.0</v>
      </c>
      <c r="D21" s="24">
        <v>0.0</v>
      </c>
      <c r="E21" s="24">
        <v>0.0</v>
      </c>
      <c r="F21" s="24">
        <v>0.0</v>
      </c>
      <c r="G21" s="24">
        <v>5.0</v>
      </c>
      <c r="H21" s="24">
        <v>3.0</v>
      </c>
      <c r="I21" s="24">
        <v>3.0</v>
      </c>
      <c r="J21" s="24">
        <v>0.0</v>
      </c>
      <c r="K21" s="24">
        <v>5.0</v>
      </c>
      <c r="L21" s="24">
        <v>3.0</v>
      </c>
      <c r="M21" s="24">
        <v>4.0</v>
      </c>
      <c r="N21" s="24">
        <v>2.0</v>
      </c>
      <c r="O21" s="26">
        <v>5.0</v>
      </c>
      <c r="P21" s="27">
        <v>4.0</v>
      </c>
      <c r="Q21" s="27">
        <v>4.0</v>
      </c>
      <c r="R21" s="27">
        <v>4.0</v>
      </c>
      <c r="S21" s="27">
        <v>5.0</v>
      </c>
      <c r="T21" s="28">
        <f t="shared" si="17"/>
        <v>0.8</v>
      </c>
      <c r="U21" s="29">
        <v>4.0</v>
      </c>
      <c r="V21" s="28">
        <f t="shared" si="18"/>
        <v>20</v>
      </c>
      <c r="W21" s="32">
        <f t="shared" si="19"/>
        <v>0.07407407407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</row>
    <row r="22">
      <c r="B22" s="33" t="s">
        <v>53</v>
      </c>
      <c r="C22" s="25">
        <v>5.0</v>
      </c>
      <c r="D22" s="24">
        <v>5.0</v>
      </c>
      <c r="E22" s="24">
        <v>3.0</v>
      </c>
      <c r="F22" s="24">
        <v>2.0</v>
      </c>
      <c r="G22" s="24">
        <v>5.0</v>
      </c>
      <c r="H22" s="24">
        <v>2.0</v>
      </c>
      <c r="I22" s="24">
        <v>3.0</v>
      </c>
      <c r="J22" s="24">
        <v>1.0</v>
      </c>
      <c r="K22" s="24">
        <v>5.0</v>
      </c>
      <c r="L22" s="24">
        <v>0.0</v>
      </c>
      <c r="M22" s="24">
        <v>5.0</v>
      </c>
      <c r="N22" s="24">
        <v>5.0</v>
      </c>
      <c r="O22" s="26">
        <v>4.0</v>
      </c>
      <c r="P22" s="27">
        <v>3.0</v>
      </c>
      <c r="Q22" s="27">
        <v>4.0</v>
      </c>
      <c r="R22" s="27">
        <v>4.0</v>
      </c>
      <c r="S22" s="27">
        <v>5.0</v>
      </c>
      <c r="T22" s="28">
        <f t="shared" si="17"/>
        <v>0.6</v>
      </c>
      <c r="U22" s="29">
        <v>3.0</v>
      </c>
      <c r="V22" s="28">
        <f t="shared" si="18"/>
        <v>12</v>
      </c>
      <c r="W22" s="32">
        <f t="shared" si="19"/>
        <v>0.04444444444</v>
      </c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</row>
    <row r="23">
      <c r="B23" s="33" t="s">
        <v>54</v>
      </c>
      <c r="C23" s="25">
        <v>5.0</v>
      </c>
      <c r="D23" s="24">
        <v>3.0</v>
      </c>
      <c r="E23" s="24">
        <v>2.0</v>
      </c>
      <c r="F23" s="24">
        <v>1.0</v>
      </c>
      <c r="G23" s="24">
        <v>2.0</v>
      </c>
      <c r="H23" s="24">
        <v>2.0</v>
      </c>
      <c r="I23" s="24">
        <v>5.0</v>
      </c>
      <c r="J23" s="24">
        <v>2.0</v>
      </c>
      <c r="K23" s="24">
        <v>5.0</v>
      </c>
      <c r="L23" s="24">
        <v>0.0</v>
      </c>
      <c r="M23" s="24">
        <v>5.0</v>
      </c>
      <c r="N23" s="24">
        <v>5.0</v>
      </c>
      <c r="O23" s="26">
        <v>5.0</v>
      </c>
      <c r="P23" s="27">
        <v>4.0</v>
      </c>
      <c r="Q23" s="27">
        <v>4.0</v>
      </c>
      <c r="R23" s="27">
        <v>4.0</v>
      </c>
      <c r="S23" s="27">
        <v>5.0</v>
      </c>
      <c r="T23" s="28">
        <f t="shared" si="17"/>
        <v>0.8</v>
      </c>
      <c r="U23" s="29">
        <v>5.0</v>
      </c>
      <c r="V23" s="28">
        <f t="shared" si="18"/>
        <v>20</v>
      </c>
      <c r="W23" s="32">
        <f t="shared" si="19"/>
        <v>0.07407407407</v>
      </c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</row>
    <row r="24">
      <c r="B24" s="33" t="s">
        <v>55</v>
      </c>
      <c r="C24" s="25">
        <v>5.0</v>
      </c>
      <c r="D24" s="24">
        <v>0.0</v>
      </c>
      <c r="E24" s="24">
        <v>5.0</v>
      </c>
      <c r="F24" s="24">
        <v>0.0</v>
      </c>
      <c r="G24" s="24">
        <v>2.0</v>
      </c>
      <c r="H24" s="24">
        <v>3.0</v>
      </c>
      <c r="I24" s="24">
        <v>2.0</v>
      </c>
      <c r="J24" s="24">
        <v>0.0</v>
      </c>
      <c r="K24" s="24">
        <v>5.0</v>
      </c>
      <c r="L24" s="24">
        <v>0.0</v>
      </c>
      <c r="M24" s="24">
        <v>0.0</v>
      </c>
      <c r="N24" s="24">
        <v>4.0</v>
      </c>
      <c r="O24" s="26">
        <v>5.0</v>
      </c>
      <c r="P24" s="27">
        <v>4.0</v>
      </c>
      <c r="Q24" s="27">
        <v>5.0</v>
      </c>
      <c r="R24" s="27">
        <v>5.0</v>
      </c>
      <c r="S24" s="27">
        <v>5.0</v>
      </c>
      <c r="T24" s="28">
        <f t="shared" si="17"/>
        <v>0.8</v>
      </c>
      <c r="U24" s="29">
        <v>4.0</v>
      </c>
      <c r="V24" s="28">
        <f t="shared" si="18"/>
        <v>20</v>
      </c>
      <c r="W24" s="32">
        <f t="shared" si="19"/>
        <v>0.07407407407</v>
      </c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</row>
    <row r="25">
      <c r="B25" s="34" t="s">
        <v>56</v>
      </c>
      <c r="C25" s="25">
        <v>5.0</v>
      </c>
      <c r="D25" s="24">
        <v>5.0</v>
      </c>
      <c r="E25" s="24">
        <v>5.0</v>
      </c>
      <c r="F25" s="24">
        <v>2.0</v>
      </c>
      <c r="G25" s="24">
        <v>2.0</v>
      </c>
      <c r="H25" s="24">
        <v>1.0</v>
      </c>
      <c r="I25" s="24">
        <v>4.0</v>
      </c>
      <c r="J25" s="24">
        <v>0.0</v>
      </c>
      <c r="K25" s="24">
        <v>5.0</v>
      </c>
      <c r="L25" s="24">
        <v>1.0</v>
      </c>
      <c r="M25" s="24">
        <v>3.0</v>
      </c>
      <c r="N25" s="24">
        <v>2.0</v>
      </c>
      <c r="O25" s="26">
        <v>5.0</v>
      </c>
      <c r="P25" s="35">
        <v>3.0</v>
      </c>
      <c r="Q25" s="27">
        <v>5.0</v>
      </c>
      <c r="R25" s="27">
        <v>4.0</v>
      </c>
      <c r="S25" s="27">
        <v>5.0</v>
      </c>
      <c r="T25" s="28">
        <f t="shared" si="17"/>
        <v>0.6</v>
      </c>
      <c r="U25" s="29">
        <v>5.0</v>
      </c>
      <c r="V25" s="28">
        <f t="shared" si="18"/>
        <v>15</v>
      </c>
      <c r="W25" s="32">
        <f t="shared" si="19"/>
        <v>0.05555555556</v>
      </c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</row>
    <row r="26">
      <c r="B26" s="34" t="s">
        <v>57</v>
      </c>
      <c r="C26" s="25">
        <v>0.0</v>
      </c>
      <c r="D26" s="24">
        <v>5.0</v>
      </c>
      <c r="E26" s="24">
        <v>5.0</v>
      </c>
      <c r="F26" s="24">
        <v>5.0</v>
      </c>
      <c r="G26" s="24">
        <v>3.0</v>
      </c>
      <c r="H26" s="24">
        <v>2.0</v>
      </c>
      <c r="I26" s="24">
        <v>2.0</v>
      </c>
      <c r="J26" s="24">
        <v>5.0</v>
      </c>
      <c r="K26" s="24">
        <v>3.0</v>
      </c>
      <c r="L26" s="24">
        <v>4.0</v>
      </c>
      <c r="M26" s="24">
        <v>3.0</v>
      </c>
      <c r="N26" s="24">
        <v>3.0</v>
      </c>
      <c r="O26" s="26">
        <v>4.0</v>
      </c>
      <c r="P26" s="35">
        <v>2.0</v>
      </c>
      <c r="Q26" s="27">
        <v>3.0</v>
      </c>
      <c r="R26" s="27">
        <v>4.0</v>
      </c>
      <c r="S26" s="27">
        <v>5.0</v>
      </c>
      <c r="T26" s="28">
        <f t="shared" si="17"/>
        <v>0.4</v>
      </c>
      <c r="U26" s="29">
        <v>4.0</v>
      </c>
      <c r="V26" s="28">
        <f t="shared" si="18"/>
        <v>8</v>
      </c>
      <c r="W26" s="32">
        <f t="shared" si="19"/>
        <v>0.02962962963</v>
      </c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</row>
    <row r="27">
      <c r="B27" s="24" t="s">
        <v>58</v>
      </c>
      <c r="C27" s="36">
        <v>5.0</v>
      </c>
      <c r="D27" s="37">
        <v>5.0</v>
      </c>
      <c r="E27" s="37">
        <v>5.0</v>
      </c>
      <c r="F27" s="37">
        <v>5.0</v>
      </c>
      <c r="G27" s="37">
        <v>4.0</v>
      </c>
      <c r="H27" s="37">
        <v>5.0</v>
      </c>
      <c r="I27" s="37">
        <v>4.0</v>
      </c>
      <c r="J27" s="37">
        <v>5.0</v>
      </c>
      <c r="K27" s="37">
        <v>5.0</v>
      </c>
      <c r="L27" s="37">
        <v>5.0</v>
      </c>
      <c r="M27" s="37">
        <v>4.0</v>
      </c>
      <c r="N27" s="37">
        <v>3.0</v>
      </c>
      <c r="O27" s="26">
        <v>5.0</v>
      </c>
      <c r="P27" s="27">
        <v>4.0</v>
      </c>
      <c r="Q27" s="27">
        <v>2.0</v>
      </c>
      <c r="R27" s="27">
        <v>3.0</v>
      </c>
      <c r="S27" s="27">
        <v>5.0</v>
      </c>
      <c r="T27" s="28">
        <f t="shared" si="17"/>
        <v>0.8</v>
      </c>
      <c r="U27" s="29">
        <v>3.0</v>
      </c>
      <c r="V27" s="28">
        <f t="shared" si="18"/>
        <v>20</v>
      </c>
      <c r="W27" s="32">
        <f t="shared" si="19"/>
        <v>0.07407407407</v>
      </c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</row>
    <row r="28">
      <c r="B28" s="34" t="s">
        <v>59</v>
      </c>
      <c r="C28" s="36">
        <v>5.0</v>
      </c>
      <c r="D28" s="37">
        <v>5.0</v>
      </c>
      <c r="E28" s="37">
        <v>5.0</v>
      </c>
      <c r="F28" s="37">
        <v>0.0</v>
      </c>
      <c r="G28" s="37">
        <v>2.0</v>
      </c>
      <c r="H28" s="37">
        <v>4.0</v>
      </c>
      <c r="I28" s="37">
        <v>2.0</v>
      </c>
      <c r="J28" s="37">
        <v>0.0</v>
      </c>
      <c r="K28" s="37">
        <v>5.0</v>
      </c>
      <c r="L28" s="37">
        <v>0.0</v>
      </c>
      <c r="M28" s="37">
        <v>4.0</v>
      </c>
      <c r="N28" s="37">
        <v>4.0</v>
      </c>
      <c r="O28" s="26">
        <v>3.5</v>
      </c>
      <c r="P28" s="27">
        <v>5.0</v>
      </c>
      <c r="Q28" s="27">
        <v>3.0</v>
      </c>
      <c r="R28" s="27">
        <v>3.0</v>
      </c>
      <c r="S28" s="27">
        <v>5.0</v>
      </c>
      <c r="T28" s="28">
        <f t="shared" si="17"/>
        <v>1</v>
      </c>
      <c r="U28" s="29">
        <v>4.0</v>
      </c>
      <c r="V28" s="28">
        <f t="shared" si="18"/>
        <v>17.5</v>
      </c>
      <c r="W28" s="32">
        <f t="shared" si="19"/>
        <v>0.06481481481</v>
      </c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</row>
    <row r="29">
      <c r="B29" s="24" t="s">
        <v>60</v>
      </c>
      <c r="C29" s="36">
        <v>5.0</v>
      </c>
      <c r="D29" s="37">
        <v>5.0</v>
      </c>
      <c r="E29" s="37">
        <v>5.0</v>
      </c>
      <c r="F29" s="37">
        <v>3.0</v>
      </c>
      <c r="G29" s="37">
        <v>0.0</v>
      </c>
      <c r="H29" s="37">
        <v>3.0</v>
      </c>
      <c r="I29" s="37">
        <v>1.0</v>
      </c>
      <c r="J29" s="37">
        <v>2.0</v>
      </c>
      <c r="K29" s="37">
        <v>5.0</v>
      </c>
      <c r="L29" s="37">
        <v>5.0</v>
      </c>
      <c r="M29" s="37">
        <v>3.0</v>
      </c>
      <c r="N29" s="37">
        <v>4.0</v>
      </c>
      <c r="O29" s="26">
        <v>4.0</v>
      </c>
      <c r="P29" s="27">
        <v>5.0</v>
      </c>
      <c r="Q29" s="27">
        <v>5.0</v>
      </c>
      <c r="R29" s="27">
        <v>5.0</v>
      </c>
      <c r="S29" s="27">
        <v>5.0</v>
      </c>
      <c r="T29" s="28">
        <f t="shared" si="17"/>
        <v>1</v>
      </c>
      <c r="U29" s="29">
        <v>3.0</v>
      </c>
      <c r="V29" s="28">
        <f t="shared" si="18"/>
        <v>20</v>
      </c>
      <c r="W29" s="32">
        <f t="shared" si="19"/>
        <v>0.07407407407</v>
      </c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</row>
    <row r="30">
      <c r="B30" s="24" t="s">
        <v>61</v>
      </c>
      <c r="C30" s="36">
        <v>5.0</v>
      </c>
      <c r="D30" s="37">
        <v>4.0</v>
      </c>
      <c r="E30" s="37">
        <v>5.0</v>
      </c>
      <c r="F30" s="37">
        <v>4.0</v>
      </c>
      <c r="G30" s="37">
        <v>3.0</v>
      </c>
      <c r="H30" s="37">
        <v>3.0</v>
      </c>
      <c r="I30" s="37">
        <v>5.0</v>
      </c>
      <c r="J30" s="37">
        <v>5.0</v>
      </c>
      <c r="K30" s="37">
        <v>5.0</v>
      </c>
      <c r="L30" s="37">
        <v>3.0</v>
      </c>
      <c r="M30" s="37">
        <v>1.0</v>
      </c>
      <c r="N30" s="37">
        <v>2.0</v>
      </c>
      <c r="O30" s="26">
        <v>5.0</v>
      </c>
      <c r="P30" s="27">
        <v>3.0</v>
      </c>
      <c r="Q30" s="27">
        <v>4.0</v>
      </c>
      <c r="R30" s="27">
        <v>4.0</v>
      </c>
      <c r="S30" s="27">
        <v>5.0</v>
      </c>
      <c r="T30" s="28">
        <f t="shared" si="17"/>
        <v>0.6</v>
      </c>
      <c r="U30" s="29">
        <v>5.0</v>
      </c>
      <c r="V30" s="28">
        <f t="shared" si="18"/>
        <v>15</v>
      </c>
      <c r="W30" s="32">
        <f t="shared" si="19"/>
        <v>0.05555555556</v>
      </c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</row>
    <row r="31">
      <c r="B31" s="24" t="s">
        <v>62</v>
      </c>
      <c r="C31" s="36">
        <v>5.0</v>
      </c>
      <c r="D31" s="37">
        <v>5.0</v>
      </c>
      <c r="E31" s="37">
        <v>5.0</v>
      </c>
      <c r="F31" s="37">
        <v>3.0</v>
      </c>
      <c r="G31" s="37">
        <v>5.0</v>
      </c>
      <c r="H31" s="37">
        <v>5.0</v>
      </c>
      <c r="I31" s="37">
        <v>1.0</v>
      </c>
      <c r="J31" s="37">
        <v>0.0</v>
      </c>
      <c r="K31" s="37">
        <v>5.0</v>
      </c>
      <c r="L31" s="37">
        <v>0.0</v>
      </c>
      <c r="M31" s="37">
        <v>5.0</v>
      </c>
      <c r="N31" s="37">
        <v>3.0</v>
      </c>
      <c r="O31" s="26">
        <v>3.5</v>
      </c>
      <c r="P31" s="27">
        <v>3.0</v>
      </c>
      <c r="Q31" s="27">
        <v>4.0</v>
      </c>
      <c r="R31" s="27">
        <v>4.0</v>
      </c>
      <c r="S31" s="27">
        <v>5.0</v>
      </c>
      <c r="T31" s="28">
        <f t="shared" si="17"/>
        <v>0.6</v>
      </c>
      <c r="U31" s="29">
        <v>4.0</v>
      </c>
      <c r="V31" s="28">
        <f t="shared" si="18"/>
        <v>10.5</v>
      </c>
      <c r="W31" s="32">
        <f t="shared" si="19"/>
        <v>0.03888888889</v>
      </c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</row>
    <row r="32">
      <c r="B32" s="24" t="s">
        <v>63</v>
      </c>
      <c r="C32" s="36">
        <v>4.0</v>
      </c>
      <c r="D32" s="37">
        <v>3.0</v>
      </c>
      <c r="E32" s="37">
        <v>4.0</v>
      </c>
      <c r="F32" s="37">
        <v>0.0</v>
      </c>
      <c r="G32" s="37">
        <v>2.0</v>
      </c>
      <c r="H32" s="37">
        <v>0.0</v>
      </c>
      <c r="I32" s="37">
        <v>4.0</v>
      </c>
      <c r="J32" s="37">
        <v>0.0</v>
      </c>
      <c r="K32" s="37">
        <v>5.0</v>
      </c>
      <c r="L32" s="37">
        <v>0.0</v>
      </c>
      <c r="M32" s="37">
        <v>1.0</v>
      </c>
      <c r="N32" s="37">
        <v>1.0</v>
      </c>
      <c r="O32" s="26">
        <v>5.0</v>
      </c>
      <c r="P32" s="27">
        <v>2.0</v>
      </c>
      <c r="Q32" s="27">
        <v>4.0</v>
      </c>
      <c r="R32" s="27">
        <v>4.0</v>
      </c>
      <c r="S32" s="27">
        <v>5.0</v>
      </c>
      <c r="T32" s="28">
        <f t="shared" si="17"/>
        <v>0.4</v>
      </c>
      <c r="U32" s="29">
        <v>4.0</v>
      </c>
      <c r="V32" s="28">
        <f t="shared" si="18"/>
        <v>10</v>
      </c>
      <c r="W32" s="32">
        <f t="shared" si="19"/>
        <v>0.03703703704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</row>
    <row r="33">
      <c r="B33" s="24" t="s">
        <v>64</v>
      </c>
      <c r="C33" s="25">
        <v>2.0</v>
      </c>
      <c r="D33" s="24">
        <v>0.0</v>
      </c>
      <c r="E33" s="24">
        <v>5.0</v>
      </c>
      <c r="F33" s="24">
        <v>5.0</v>
      </c>
      <c r="G33" s="24">
        <v>2.0</v>
      </c>
      <c r="H33" s="24">
        <v>0.0</v>
      </c>
      <c r="I33" s="24">
        <v>0.0</v>
      </c>
      <c r="J33" s="24">
        <v>0.0</v>
      </c>
      <c r="K33" s="24">
        <v>5.0</v>
      </c>
      <c r="L33" s="24">
        <v>0.0</v>
      </c>
      <c r="M33" s="24">
        <v>0.0</v>
      </c>
      <c r="N33" s="24">
        <v>0.0</v>
      </c>
      <c r="O33" s="26">
        <v>3.0</v>
      </c>
      <c r="P33" s="27">
        <v>5.0</v>
      </c>
      <c r="Q33" s="27">
        <v>5.0</v>
      </c>
      <c r="R33" s="27">
        <v>5.0</v>
      </c>
      <c r="S33" s="27">
        <v>5.0</v>
      </c>
      <c r="T33" s="28">
        <f t="shared" si="17"/>
        <v>1</v>
      </c>
      <c r="U33" s="29">
        <v>5.0</v>
      </c>
      <c r="V33" s="28">
        <f t="shared" si="18"/>
        <v>15</v>
      </c>
      <c r="W33" s="32">
        <f t="shared" si="19"/>
        <v>0.05555555556</v>
      </c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</row>
    <row r="34">
      <c r="B34" s="24" t="s">
        <v>65</v>
      </c>
      <c r="C34" s="25">
        <v>3.0</v>
      </c>
      <c r="D34" s="24">
        <v>5.0</v>
      </c>
      <c r="E34" s="24">
        <v>5.0</v>
      </c>
      <c r="F34" s="24">
        <v>5.0</v>
      </c>
      <c r="G34" s="24">
        <v>2.0</v>
      </c>
      <c r="H34" s="24">
        <v>0.0</v>
      </c>
      <c r="I34" s="24">
        <v>5.0</v>
      </c>
      <c r="J34" s="24">
        <v>2.0</v>
      </c>
      <c r="K34" s="24">
        <v>5.0</v>
      </c>
      <c r="L34" s="24">
        <v>0.0</v>
      </c>
      <c r="M34" s="24">
        <v>0.0</v>
      </c>
      <c r="N34" s="24">
        <v>3.0</v>
      </c>
      <c r="O34" s="26">
        <v>4.0</v>
      </c>
      <c r="P34" s="27">
        <v>3.5</v>
      </c>
      <c r="Q34" s="27">
        <v>4.0</v>
      </c>
      <c r="R34" s="27">
        <v>4.0</v>
      </c>
      <c r="S34" s="27">
        <v>5.0</v>
      </c>
      <c r="T34" s="28">
        <f t="shared" si="17"/>
        <v>0.7</v>
      </c>
      <c r="U34" s="29">
        <v>5.0</v>
      </c>
      <c r="V34" s="28">
        <f t="shared" si="18"/>
        <v>14</v>
      </c>
      <c r="W34" s="32">
        <f t="shared" si="19"/>
        <v>0.05185185185</v>
      </c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</row>
    <row r="35">
      <c r="B35" s="38" t="s">
        <v>66</v>
      </c>
      <c r="C35" s="25">
        <v>5.0</v>
      </c>
      <c r="D35" s="24">
        <v>4.0</v>
      </c>
      <c r="E35" s="24">
        <v>5.0</v>
      </c>
      <c r="F35" s="24">
        <v>0.0</v>
      </c>
      <c r="G35" s="24">
        <v>0.0</v>
      </c>
      <c r="H35" s="24">
        <v>0.0</v>
      </c>
      <c r="I35" s="24">
        <v>5.0</v>
      </c>
      <c r="J35" s="24">
        <v>1.0</v>
      </c>
      <c r="K35" s="24">
        <v>3.0</v>
      </c>
      <c r="L35" s="24">
        <v>0.0</v>
      </c>
      <c r="M35" s="24">
        <v>0.0</v>
      </c>
      <c r="N35" s="24">
        <v>2.0</v>
      </c>
      <c r="O35" s="26">
        <v>5.0</v>
      </c>
      <c r="P35" s="27">
        <v>5.0</v>
      </c>
      <c r="Q35" s="27">
        <v>5.0</v>
      </c>
      <c r="R35" s="27">
        <v>5.0</v>
      </c>
      <c r="S35" s="27">
        <v>5.0</v>
      </c>
      <c r="T35" s="28">
        <f t="shared" si="17"/>
        <v>1</v>
      </c>
      <c r="U35" s="29">
        <v>5.0</v>
      </c>
      <c r="V35" s="28">
        <f t="shared" si="18"/>
        <v>25</v>
      </c>
      <c r="W35" s="32">
        <f t="shared" si="19"/>
        <v>0.09259259259</v>
      </c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</row>
    <row r="36">
      <c r="B36" s="34" t="s">
        <v>67</v>
      </c>
      <c r="C36" s="25">
        <v>5.0</v>
      </c>
      <c r="D36" s="24">
        <v>1.0</v>
      </c>
      <c r="E36" s="24">
        <v>5.0</v>
      </c>
      <c r="F36" s="24">
        <v>2.0</v>
      </c>
      <c r="G36" s="24">
        <v>1.0</v>
      </c>
      <c r="H36" s="24">
        <v>1.0</v>
      </c>
      <c r="I36" s="24">
        <v>5.0</v>
      </c>
      <c r="J36" s="24">
        <v>2.0</v>
      </c>
      <c r="K36" s="24">
        <v>5.0</v>
      </c>
      <c r="L36" s="24">
        <v>0.0</v>
      </c>
      <c r="M36" s="24">
        <v>1.0</v>
      </c>
      <c r="N36" s="24">
        <v>3.0</v>
      </c>
      <c r="O36" s="26">
        <v>5.0</v>
      </c>
      <c r="P36" s="27">
        <v>3.0</v>
      </c>
      <c r="Q36" s="27">
        <v>5.0</v>
      </c>
      <c r="R36" s="27">
        <v>5.0</v>
      </c>
      <c r="S36" s="27">
        <v>5.0</v>
      </c>
      <c r="T36" s="28">
        <f t="shared" si="17"/>
        <v>0.6</v>
      </c>
      <c r="U36" s="29">
        <v>5.0</v>
      </c>
      <c r="V36" s="28">
        <f t="shared" si="18"/>
        <v>15</v>
      </c>
      <c r="W36" s="32">
        <f t="shared" si="19"/>
        <v>0.05555555556</v>
      </c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</row>
    <row r="37">
      <c r="B37" s="39" t="s">
        <v>68</v>
      </c>
      <c r="C37" s="33">
        <f t="shared" ref="C37:N37" si="20">SUMPRODUCT(C14:C31,$V$14:$V$31)</f>
        <v>1238</v>
      </c>
      <c r="D37" s="33">
        <f t="shared" si="20"/>
        <v>1015.5</v>
      </c>
      <c r="E37" s="33">
        <f t="shared" si="20"/>
        <v>1023</v>
      </c>
      <c r="F37" s="33">
        <f t="shared" si="20"/>
        <v>396.5</v>
      </c>
      <c r="G37" s="33">
        <f t="shared" si="20"/>
        <v>671</v>
      </c>
      <c r="H37" s="33">
        <f t="shared" si="20"/>
        <v>667.5</v>
      </c>
      <c r="I37" s="33">
        <f t="shared" si="20"/>
        <v>687</v>
      </c>
      <c r="J37" s="33">
        <f t="shared" si="20"/>
        <v>545.5</v>
      </c>
      <c r="K37" s="33">
        <f t="shared" si="20"/>
        <v>1123.5</v>
      </c>
      <c r="L37" s="33">
        <f t="shared" si="20"/>
        <v>746</v>
      </c>
      <c r="M37" s="33">
        <f t="shared" si="20"/>
        <v>853.5</v>
      </c>
      <c r="N37" s="33">
        <f t="shared" si="20"/>
        <v>852.5</v>
      </c>
      <c r="O37" s="40"/>
      <c r="P37" s="33"/>
      <c r="Q37" s="33"/>
      <c r="R37" s="33"/>
      <c r="S37" s="33"/>
      <c r="T37" s="41"/>
      <c r="U37" s="41"/>
      <c r="V37" s="41"/>
      <c r="W37" s="42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</row>
    <row r="38">
      <c r="B38" s="43" t="s">
        <v>69</v>
      </c>
      <c r="C38" s="44">
        <f t="shared" ref="C38:N38" si="21">C37/SUM($C37:$N37)</f>
        <v>0.1260756658</v>
      </c>
      <c r="D38" s="44">
        <f t="shared" si="21"/>
        <v>0.1034166709</v>
      </c>
      <c r="E38" s="44">
        <f t="shared" si="21"/>
        <v>0.1041804573</v>
      </c>
      <c r="F38" s="44">
        <f t="shared" si="21"/>
        <v>0.04037883803</v>
      </c>
      <c r="G38" s="44">
        <f t="shared" si="21"/>
        <v>0.0683334182</v>
      </c>
      <c r="H38" s="44">
        <f t="shared" si="21"/>
        <v>0.06797698457</v>
      </c>
      <c r="I38" s="44">
        <f t="shared" si="21"/>
        <v>0.06996282906</v>
      </c>
      <c r="J38" s="44">
        <f t="shared" si="21"/>
        <v>0.05555272672</v>
      </c>
      <c r="K38" s="44">
        <f t="shared" si="21"/>
        <v>0.1144151943</v>
      </c>
      <c r="L38" s="44">
        <f t="shared" si="21"/>
        <v>0.07597128163</v>
      </c>
      <c r="M38" s="44">
        <f t="shared" si="21"/>
        <v>0.08691888589</v>
      </c>
      <c r="N38" s="44">
        <f t="shared" si="21"/>
        <v>0.08681704771</v>
      </c>
      <c r="O38" s="40"/>
      <c r="P38" s="33"/>
      <c r="Q38" s="33"/>
      <c r="R38" s="33"/>
      <c r="S38" s="33"/>
      <c r="T38" s="41"/>
      <c r="U38" s="41"/>
      <c r="V38" s="41"/>
      <c r="W38" s="42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</row>
    <row r="39">
      <c r="B39" s="33" t="s">
        <v>70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0"/>
      <c r="P39" s="33"/>
      <c r="Q39" s="33"/>
      <c r="R39" s="33"/>
      <c r="S39" s="33"/>
      <c r="T39" s="41"/>
      <c r="U39" s="41"/>
      <c r="V39" s="41"/>
      <c r="W39" s="42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</row>
    <row r="44">
      <c r="B44" s="45" t="s">
        <v>20</v>
      </c>
    </row>
    <row r="45">
      <c r="B45" s="45" t="s">
        <v>71</v>
      </c>
    </row>
    <row r="46">
      <c r="B46" s="45" t="s">
        <v>72</v>
      </c>
    </row>
    <row r="47">
      <c r="B47" s="45" t="s">
        <v>73</v>
      </c>
    </row>
    <row r="48">
      <c r="B48" s="45" t="s">
        <v>22</v>
      </c>
    </row>
    <row r="49">
      <c r="B49" s="45" t="s">
        <v>28</v>
      </c>
    </row>
  </sheetData>
  <mergeCells count="11">
    <mergeCell ref="C9:G9"/>
    <mergeCell ref="C10:F10"/>
    <mergeCell ref="C11:E11"/>
    <mergeCell ref="C12:D12"/>
    <mergeCell ref="C2:N2"/>
    <mergeCell ref="C3:M3"/>
    <mergeCell ref="C4:L4"/>
    <mergeCell ref="C5:K5"/>
    <mergeCell ref="C6:J6"/>
    <mergeCell ref="C7:I7"/>
    <mergeCell ref="C8:H8"/>
  </mergeCells>
  <conditionalFormatting sqref="W14:A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N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2020-11-07T23:25:18Z</dcterms:created>
  <dc:creator>Elizabeth Jara</dc:creator>
</cp:coreProperties>
</file>